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  <sheet name="Module-overzicht" sheetId="2" state="visible" r:id="rId4"/>
  </sheets>
  <definedNames>
    <definedName function="false" hidden="true" localSheetId="0" name="_xlnm._FilterDatabase" vbProcedure="false">Backlog!$A$2:$I$39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<sst xmlns="http://schemas.openxmlformats.org/spreadsheetml/2006/main" count="371" uniqueCount="195">
  <si>
    <t xml:space="preserve">Huishoek — Productbacklog</t>
  </si>
  <si>
    <t xml:space="preserve">ID</t>
  </si>
  <si>
    <t xml:space="preserve">Module</t>
  </si>
  <si>
    <t xml:space="preserve">Feature</t>
  </si>
  <si>
    <t xml:space="preserve">Beschrijving</t>
  </si>
  <si>
    <t xml:space="preserve">Fase</t>
  </si>
  <si>
    <t xml:space="preserve">Prioriteit (MoSCoW)</t>
  </si>
  <si>
    <t xml:space="preserve">Inspanning</t>
  </si>
  <si>
    <t xml:space="preserve">Afhankelijk van</t>
  </si>
  <si>
    <t xml:space="preserve">Aanpak / notitie</t>
  </si>
  <si>
    <t xml:space="preserve">FND-1</t>
  </si>
  <si>
    <t xml:space="preserve">Fundament</t>
  </si>
  <si>
    <t xml:space="preserve">Subgroepen &amp; zichtbaarheid</t>
  </si>
  <si>
    <t xml:space="preserve">Subgroepen per huishouden (ouders, kind+ouders, privé) + zichtbaarheid als eigenschap van elk item.</t>
  </si>
  <si>
    <t xml:space="preserve">Fase 0</t>
  </si>
  <si>
    <t xml:space="preserve">Must</t>
  </si>
  <si>
    <t xml:space="preserve">L</t>
  </si>
  <si>
    <t xml:space="preserve">—</t>
  </si>
  <si>
    <t xml:space="preserve">Blocker voor subgroep-afhankelijke features. Tabel subgroups + subgroup_members; visibility_subgroup_id op items; RLS uitbreiden.</t>
  </si>
  <si>
    <t xml:space="preserve">FND-2</t>
  </si>
  <si>
    <t xml:space="preserve">Module-architectuur</t>
  </si>
  <si>
    <t xml:space="preserve">Modulair raamwerk zodat nieuwe modules 'inpluggen' met eigen schema, weergave en navigatie.</t>
  </si>
  <si>
    <t xml:space="preserve">M</t>
  </si>
  <si>
    <t xml:space="preserve">Gedeelde basis voor terugkeer- en toewijzingslogica; per module een eigen scherm + datatabel.</t>
  </si>
  <si>
    <t xml:space="preserve">FND-3</t>
  </si>
  <si>
    <t xml:space="preserve">Kinderprofielen</t>
  </si>
  <si>
    <t xml:space="preserve">Kinderen als profiel zonder eigen login óf met beperkte login; bepaalt subgroep-privacy.</t>
  </si>
  <si>
    <t xml:space="preserve">Should</t>
  </si>
  <si>
    <t xml:space="preserve">Open vraag in doc. Begin evt. met 'profiel zonder account' onder een ouder.</t>
  </si>
  <si>
    <t xml:space="preserve">KLU-1</t>
  </si>
  <si>
    <t xml:space="preserve">Klussen</t>
  </si>
  <si>
    <t xml:space="preserve">Basis taken (af)</t>
  </si>
  <si>
    <t xml:space="preserve">Eenmalige + terugkerende klussen met categorie, toewijzing, datum. Reeds gebouwd.</t>
  </si>
  <si>
    <t xml:space="preserve">Fase 1</t>
  </si>
  <si>
    <t xml:space="preserve">Gereed in v1.0.</t>
  </si>
  <si>
    <t xml:space="preserve">KLU-2</t>
  </si>
  <si>
    <t xml:space="preserve">Klus-bibliotheek</t>
  </si>
  <si>
    <t xml:space="preserve">Veelvoorkomende klussen met standaard-interval (rookmelder, cv-druk, dakgoot) met één tik toevoegen.</t>
  </si>
  <si>
    <t xml:space="preserve">Fase 2</t>
  </si>
  <si>
    <t xml:space="preserve">S</t>
  </si>
  <si>
    <t xml:space="preserve">Vaste lijst + default recur-instellingen.</t>
  </si>
  <si>
    <t xml:space="preserve">KLU-3</t>
  </si>
  <si>
    <t xml:space="preserve">Seizoenssuggesties</t>
  </si>
  <si>
    <t xml:space="preserve">Context-suggesties per seizoen (tuinslang aftappen in oktober).</t>
  </si>
  <si>
    <t xml:space="preserve">Fase 3</t>
  </si>
  <si>
    <t xml:space="preserve">Could</t>
  </si>
  <si>
    <t xml:space="preserve">Regelgebaseerd op maand.</t>
  </si>
  <si>
    <t xml:space="preserve">KLU-4</t>
  </si>
  <si>
    <t xml:space="preserve">Beurtrotatie</t>
  </si>
  <si>
    <t xml:space="preserve">Terugkerende klus rouleert automatisch tussen leden.</t>
  </si>
  <si>
    <t xml:space="preserve">Rotatie-volgorde opslaan; bij afvinken volgende persoon toewijzen.</t>
  </si>
  <si>
    <t xml:space="preserve">BOO-1</t>
  </si>
  <si>
    <t xml:space="preserve">Boodschappen</t>
  </si>
  <si>
    <t xml:space="preserve">Gedeelde lijst (af)</t>
  </si>
  <si>
    <t xml:space="preserve">Realtime gedeelde boodschappenlijst met afvinken. Reeds gebouwd.</t>
  </si>
  <si>
    <t xml:space="preserve">BOO-2</t>
  </si>
  <si>
    <t xml:space="preserve">Bonnetje scannen — foto + bevestigen</t>
  </si>
  <si>
    <t xml:space="preserve">Foto van kassabon, OCR doet voorzet (product/aantal/prijs), gebruiker bevestigt en corrigeert.</t>
  </si>
  <si>
    <t xml:space="preserve">BOO-5</t>
  </si>
  <si>
    <t xml:space="preserve">Trap 1. Levert direct aankoophistorie + prijsdata. Correcties trainen matching.</t>
  </si>
  <si>
    <t xml:space="preserve">BOO-3</t>
  </si>
  <si>
    <t xml:space="preserve">Prijstracker</t>
  </si>
  <si>
    <t xml:space="preserve">Prijs per product over tijd en per supermarkt; trends zichtbaar.</t>
  </si>
  <si>
    <t xml:space="preserve">Bouwt op aankoophistorie uit BOO-2.</t>
  </si>
  <si>
    <t xml:space="preserve">BOO-4</t>
  </si>
  <si>
    <t xml:space="preserve">Supermarktvergelijking</t>
  </si>
  <si>
    <t xml:space="preserve">Schat totaalprijs van je standaardmandje per winkel op basis van eigen historie.</t>
  </si>
  <si>
    <t xml:space="preserve">Vereist betrouwbare productmatching tussen ketens.</t>
  </si>
  <si>
    <t xml:space="preserve">Productcatalogus &amp; matching</t>
  </si>
  <si>
    <t xml:space="preserve">Genormaliseerde productcatalogus per huishouden zodat varianten als 1 product tellen.</t>
  </si>
  <si>
    <t xml:space="preserve">Kritisch fundament voor prijstracker en vergelijking.</t>
  </si>
  <si>
    <t xml:space="preserve">BOO-6</t>
  </si>
  <si>
    <t xml:space="preserve">Per-keten bon-parsers</t>
  </si>
  <si>
    <t xml:space="preserve">Specifieke parsers voor AH/Jumbo/Lidl/Plus voor betrouwbaardere extractie.</t>
  </si>
  <si>
    <t xml:space="preserve">Trap 2. Per keten bonformaat stabiel genoeg.</t>
  </si>
  <si>
    <t xml:space="preserve">BOO-7</t>
  </si>
  <si>
    <t xml:space="preserve">AI-bonextractie</t>
  </si>
  <si>
    <t xml:space="preserve">Multimodaal model zet bon om naar gestructureerde regels, met bevestiging als vangnet.</t>
  </si>
  <si>
    <t xml:space="preserve">Trap 3. Kosten per scan meewegen.</t>
  </si>
  <si>
    <t xml:space="preserve">BOO-8</t>
  </si>
  <si>
    <t xml:space="preserve">Aankoopfrequentie leren</t>
  </si>
  <si>
    <t xml:space="preserve">App merkt koopritme (melk ~elke 5 dagen) en stelt voor op de lijst te zetten.</t>
  </si>
  <si>
    <t xml:space="preserve">Begin als simpele 'je koopt dit meestal rond nu'-suggestie.</t>
  </si>
  <si>
    <t xml:space="preserve">PLA-1</t>
  </si>
  <si>
    <t xml:space="preserve">Planten</t>
  </si>
  <si>
    <t xml:space="preserve">Plant toevoegen + foto</t>
  </si>
  <si>
    <t xml:space="preserve">Plant met foto, naam, locatie; handmatige soortkeuze uit lijst.</t>
  </si>
  <si>
    <t xml:space="preserve">Foto-opslag (Supabase Storage).</t>
  </si>
  <si>
    <t xml:space="preserve">PLA-2</t>
  </si>
  <si>
    <t xml:space="preserve">Soortdatabase + verzorgingsregels</t>
  </si>
  <si>
    <t xml:space="preserve">Database van populaire planten met water-/voedings-/lichtregels.</t>
  </si>
  <si>
    <t xml:space="preserve">Paar honderd soorten dekt het meeste. Regelgebaseerd, uitlegbaar.</t>
  </si>
  <si>
    <t xml:space="preserve">PLA-3</t>
  </si>
  <si>
    <t xml:space="preserve">Verzorgingsschema op maat</t>
  </si>
  <si>
    <t xml:space="preserve">Genereert water-/voedingsschema o.b.v. soort + locatie + seizoen; komt terug als taken.</t>
  </si>
  <si>
    <t xml:space="preserve">Schema =&gt; terugkerende taken in plant-module.</t>
  </si>
  <si>
    <t xml:space="preserve">PLA-4</t>
  </si>
  <si>
    <t xml:space="preserve">Verzorgingskaart</t>
  </si>
  <si>
    <t xml:space="preserve">Per plant: licht, water, voeding, verpotten, veelvoorkomende problemen.</t>
  </si>
  <si>
    <t xml:space="preserve">Weergave van de regels uit de soortdatabase.</t>
  </si>
  <si>
    <t xml:space="preserve">PLA-5</t>
  </si>
  <si>
    <t xml:space="preserve">Plantendagboek</t>
  </si>
  <si>
    <t xml:space="preserve">Foto's over tijd om groei/gezondheid te volgen.</t>
  </si>
  <si>
    <t xml:space="preserve">Timeline van foto's.</t>
  </si>
  <si>
    <t xml:space="preserve">PLA-6</t>
  </si>
  <si>
    <t xml:space="preserve">AI-soortherkenning</t>
  </si>
  <si>
    <t xml:space="preserve">Soort herkennen uit foto; handmatige keuze blijft terugval.</t>
  </si>
  <si>
    <t xml:space="preserve">Plant-ID API of eigen model. Aparte, latere stap.</t>
  </si>
  <si>
    <t xml:space="preserve">SCH-1</t>
  </si>
  <si>
    <t xml:space="preserve">Schoonmaak</t>
  </si>
  <si>
    <t xml:space="preserve">Kamer-/zonegerichte taken</t>
  </si>
  <si>
    <t xml:space="preserve">Per ruimte een set terugkerende schoonmaaktaken.</t>
  </si>
  <si>
    <t xml:space="preserve">Deelt terugkeer-/toewijzingslogica met Klussen.</t>
  </si>
  <si>
    <t xml:space="preserve">SCH-2</t>
  </si>
  <si>
    <t xml:space="preserve">Schoonmaakrooster in één keer</t>
  </si>
  <si>
    <t xml:space="preserve">Standaard weekschema opzetten i.p.v. taak voor taak.</t>
  </si>
  <si>
    <t xml:space="preserve">Template =&gt; meerdere terugkerende taken.</t>
  </si>
  <si>
    <t xml:space="preserve">SCH-3</t>
  </si>
  <si>
    <t xml:space="preserve">Beurtverdeling + eerlijkheidsoverzicht</t>
  </si>
  <si>
    <t xml:space="preserve">Verdeel over leden; toon wie hoeveel deed.</t>
  </si>
  <si>
    <t xml:space="preserve">Telt voltooide taken per lid.</t>
  </si>
  <si>
    <t xml:space="preserve">AAN-1</t>
  </si>
  <si>
    <t xml:space="preserve">Grote aankopen</t>
  </si>
  <si>
    <t xml:space="preserve">Aankoop-dossier</t>
  </si>
  <si>
    <t xml:space="preserve">Per overweging: titel, budgetrange, deadline, wie beslist mee.</t>
  </si>
  <si>
    <t xml:space="preserve">Zichtbaarheid via subgroep (bijv. alleen ouders).</t>
  </si>
  <si>
    <t xml:space="preserve">AAN-2</t>
  </si>
  <si>
    <t xml:space="preserve">Opties verzamelen</t>
  </si>
  <si>
    <t xml:space="preserve">Kandidaten met prijs, link, foto en losse voor/tegen-overwegingen per lid.</t>
  </si>
  <si>
    <t xml:space="preserve">Iedere deelnemer voegt opties/overwegingen toe.</t>
  </si>
  <si>
    <t xml:space="preserve">AAN-3</t>
  </si>
  <si>
    <t xml:space="preserve">Vergelijktabel</t>
  </si>
  <si>
    <t xml:space="preserve">Opties naast elkaar op zelfgekozen criteria.</t>
  </si>
  <si>
    <t xml:space="preserve">Criteria per dossier instelbaar.</t>
  </si>
  <si>
    <t xml:space="preserve">AAN-4</t>
  </si>
  <si>
    <t xml:space="preserve">Stemmen &amp; besluit vastleggen</t>
  </si>
  <si>
    <t xml:space="preserve">Voorkeur per lid; gekozen optie + onderbouwing bewaren.</t>
  </si>
  <si>
    <t xml:space="preserve">Naslag voor later.</t>
  </si>
  <si>
    <t xml:space="preserve">AAN-5</t>
  </si>
  <si>
    <t xml:space="preserve">Prijswijziging-signalering</t>
  </si>
  <si>
    <t xml:space="preserve">Volg een optie en krijg melding bij prijsdaling.</t>
  </si>
  <si>
    <t xml:space="preserve">Vereist externe prijsbron/scraping per optie.</t>
  </si>
  <si>
    <t xml:space="preserve">AGE-1</t>
  </si>
  <si>
    <t xml:space="preserve">Agenda</t>
  </si>
  <si>
    <t xml:space="preserve">Kalenderweergave + subgroep-filter</t>
  </si>
  <si>
    <t xml:space="preserve">Echte kalender; filter op subgroep zodat Tims training niet bij ander kind verschijnt.</t>
  </si>
  <si>
    <t xml:space="preserve">Afspraken bestaan al als taakcategorie; dit is de weergavelaag.</t>
  </si>
  <si>
    <t xml:space="preserve">AGE-2</t>
  </si>
  <si>
    <t xml:space="preserve">Sync met telefoon-agenda</t>
  </si>
  <si>
    <t xml:space="preserve">Tweeweg of eenweg sync naar device-agenda.</t>
  </si>
  <si>
    <t xml:space="preserve">expo-calendar; rechten per platform.</t>
  </si>
  <si>
    <t xml:space="preserve">KOS-1</t>
  </si>
  <si>
    <t xml:space="preserve">Kosten</t>
  </si>
  <si>
    <t xml:space="preserve">WieBetaaltWat — uitgaven &amp; splitsen</t>
  </si>
  <si>
    <t xml:space="preserve">Uitgave met betaler + deelnemers; splitsing gelijk/aandeel/exact.</t>
  </si>
  <si>
    <t xml:space="preserve">Zelfstandige waarde; subgroep-gescoped.</t>
  </si>
  <si>
    <t xml:space="preserve">KOS-2</t>
  </si>
  <si>
    <t xml:space="preserve">Saldo-overzicht &amp; vereffenen</t>
  </si>
  <si>
    <t xml:space="preserve">Wie staat rood/groen; vereffen-suggesties die aantal betalingen minimaliseren.</t>
  </si>
  <si>
    <t xml:space="preserve">Schuldminimalisatie-algoritme.</t>
  </si>
  <si>
    <t xml:space="preserve">KOS-3</t>
  </si>
  <si>
    <t xml:space="preserve">Kosten koppelen aan modules</t>
  </si>
  <si>
    <t xml:space="preserve">Een boodschap of grote aankoop kan direct een gedeelde uitgave worden.</t>
  </si>
  <si>
    <t xml:space="preserve">Laag bovenop modules, geen losse invoer nodig.</t>
  </si>
  <si>
    <t xml:space="preserve">AUT-1</t>
  </si>
  <si>
    <t xml:space="preserve">Autodelen</t>
  </si>
  <si>
    <t xml:space="preserve">Gedeeld item + reserveringskalender</t>
  </si>
  <si>
    <t xml:space="preserve">Item 'auto/boormachine/aanhanger' met reserveringen: wie gebruikt wanneer.</t>
  </si>
  <si>
    <t xml:space="preserve">Reserveringen op een gedeelde resource.</t>
  </si>
  <si>
    <t xml:space="preserve">AUT-2</t>
  </si>
  <si>
    <t xml:space="preserve">Gebruik → kosten</t>
  </si>
  <si>
    <t xml:space="preserve">Kilometers/tankbeurten worden uitgaven, gesplitst naar gebruik.</t>
  </si>
  <si>
    <t xml:space="preserve">Koppelt reservering aan KOS-uitgave.</t>
  </si>
  <si>
    <t xml:space="preserve">AUT-3</t>
  </si>
  <si>
    <t xml:space="preserve">Tussen bevriende huishoudens</t>
  </si>
  <si>
    <t xml:space="preserve">Autodelen met de buren via gedeelde subgroep over huishoudens heen.</t>
  </si>
  <si>
    <t xml:space="preserve">Vereist vertrouwens-/uitnodigingsmodel tussen huishoudens.</t>
  </si>
  <si>
    <t xml:space="preserve">Modules in één oogopslag</t>
  </si>
  <si>
    <t xml:space="preserve">Kernondersteuning</t>
  </si>
  <si>
    <t xml:space="preserve">Aantal items</t>
  </si>
  <si>
    <t xml:space="preserve">Eerste fase</t>
  </si>
  <si>
    <t xml:space="preserve">Subgroepen, zichtbaarheid en modulair raamwerk</t>
  </si>
  <si>
    <t xml:space="preserve">Eenmalig/terugkerend, bibliotheek, beurtrotatie</t>
  </si>
  <si>
    <t xml:space="preserve">Bonnetjes-scan, prijstracker, supermarktvergelijking, koopritme</t>
  </si>
  <si>
    <t xml:space="preserve">Foto + soort, verzorgingsschema op maat, dagboek, AI-herkenning</t>
  </si>
  <si>
    <t xml:space="preserve">Zonegericht rooster, beurtverdeling, eerlijkheidsoverzicht</t>
  </si>
  <si>
    <t xml:space="preserve">Dossier, opties + overwegingen, vergelijktabel, samen beslissen</t>
  </si>
  <si>
    <t xml:space="preserve">Kalender met subgroep-filter, device-sync</t>
  </si>
  <si>
    <t xml:space="preserve">WieBetaaltWat: uitgaven, splitsen, saldo, koppeling aan modules</t>
  </si>
  <si>
    <t xml:space="preserve">Gedeeld item + reservering, gebruik→kosten, tussen huishoudens</t>
  </si>
  <si>
    <t xml:space="preserve">Totaal</t>
  </si>
  <si>
    <t xml:space="preserve">Legenda</t>
  </si>
  <si>
    <t xml:space="preserve">Fase 0 = fundament (blokkeert de rest)  ·  Fase 1 = snelle zelfstandige waarde</t>
  </si>
  <si>
    <t xml:space="preserve">Fase 2 = ambitieuze data-features  ·  Fase 3 = slim &amp; verbonden</t>
  </si>
  <si>
    <t xml:space="preserve">MoSCoW: Must / Should / Could  ·  Inspanning (T-shirt): S / M / 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</si>
</sst>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0E3A2F"/>
      <name val="Arial"/>
      <family val="0"/>
      <charset val="1"/>
    </font>
    <font>
      <b val="true"/>
      <sz val="10"/>
      <color rgb="FF1A2420"/>
      <name val="Arial"/>
      <family val="0"/>
      <charset val="1"/>
    </font>
    <font>
      <sz val="10"/>
      <color rgb="FF1A2420"/>
      <name val="Arial"/>
      <family val="0"/>
      <charset val="1"/>
    </font>
    <font>
      <b val="true"/>
      <sz val="10"/>
      <color rgb="FFB00020"/>
      <name val="Arial"/>
      <family val="0"/>
      <charset val="1"/>
    </font>
    <font>
      <b val="true"/>
      <sz val="10"/>
      <color rgb="FF8A6D00"/>
      <name val="Arial"/>
      <family val="0"/>
      <charset val="1"/>
    </font>
    <font>
      <sz val="9"/>
      <color rgb="FF5A655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E3A2F"/>
        <bgColor rgb="FF1A2420"/>
      </patternFill>
    </fill>
    <fill>
      <patternFill patternType="solid">
        <fgColor rgb="FFF6E4BE"/>
        <bgColor rgb="FFEDE8DE"/>
      </patternFill>
    </fill>
    <fill>
      <patternFill patternType="solid">
        <fgColor rgb="FFEDE8DE"/>
        <bgColor rgb="FFF3EAF0"/>
      </patternFill>
    </fill>
    <fill>
      <patternFill patternType="solid">
        <fgColor rgb="FFFBF1DD"/>
        <bgColor rgb="FFFBEDE8"/>
      </patternFill>
    </fill>
    <fill>
      <patternFill patternType="solid">
        <fgColor rgb="FFEAF0F6"/>
        <bgColor rgb="FFE9F2EC"/>
      </patternFill>
    </fill>
    <fill>
      <patternFill patternType="solid">
        <fgColor rgb="FFE9F2EC"/>
        <bgColor rgb="FFEAF0F6"/>
      </patternFill>
    </fill>
    <fill>
      <patternFill patternType="solid">
        <fgColor rgb="FFF3EAF0"/>
        <bgColor rgb="FFFBEDE8"/>
      </patternFill>
    </fill>
    <fill>
      <patternFill patternType="solid">
        <fgColor rgb="FFFBEDE8"/>
        <bgColor rgb="FFFBF1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DDD2"/>
      </left>
      <right style="thin">
        <color rgb="FFE2DDD2"/>
      </right>
      <top style="thin">
        <color rgb="FFE2DDD2"/>
      </top>
      <bottom style="thin">
        <color rgb="FFE2DD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E9F2EC"/>
          <bgColor rgb="FF000000"/>
        </patternFill>
      </fill>
    </dxf>
    <dxf>
      <fill>
        <patternFill patternType="solid">
          <fgColor rgb="FFEAF0F6"/>
          <bgColor rgb="FF000000"/>
        </patternFill>
      </fill>
    </dxf>
    <dxf>
      <fill>
        <patternFill patternType="solid">
          <fgColor rgb="FFEDE8DE"/>
          <bgColor rgb="FF000000"/>
        </patternFill>
      </fill>
    </dxf>
    <dxf>
      <fill>
        <patternFill patternType="solid">
          <fgColor rgb="FFF3EAF0"/>
          <bgColor rgb="FF000000"/>
        </patternFill>
      </fill>
    </dxf>
    <dxf>
      <fill>
        <patternFill patternType="solid">
          <fgColor rgb="FFF6E4BE"/>
          <bgColor rgb="FF000000"/>
        </patternFill>
      </fill>
    </dxf>
    <dxf>
      <fill>
        <patternFill patternType="solid">
          <fgColor rgb="FFFBEDE8"/>
          <bgColor rgb="FF000000"/>
        </patternFill>
      </fill>
    </dxf>
    <dxf>
      <fill>
        <patternFill patternType="solid">
          <fgColor rgb="FFFBF1DD"/>
          <bgColor rgb="FF000000"/>
        </patternFill>
      </fill>
    </dxf>
    <dxf>
      <fill>
        <patternFill patternType="solid">
          <fgColor rgb="FF0E3A2F"/>
          <bgColor rgb="FF000000"/>
        </patternFill>
      </fill>
    </dxf>
    <dxf>
      <fill>
        <patternFill patternType="solid">
          <fgColor rgb="FF1A2420"/>
          <bgColor rgb="FF000000"/>
        </patternFill>
      </fill>
    </dxf>
    <dxf>
      <fill>
        <patternFill patternType="solid">
          <fgColor rgb="FF8A6D00"/>
          <bgColor rgb="FF000000"/>
        </patternFill>
      </fill>
    </dxf>
    <dxf>
      <fill>
        <patternFill patternType="solid">
          <fgColor rgb="FFB0002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A6D00"/>
      <rgbColor rgb="FF800080"/>
      <rgbColor rgb="FF008080"/>
      <rgbColor rgb="FFF3EAF0"/>
      <rgbColor rgb="FF808080"/>
      <rgbColor rgb="FF9999FF"/>
      <rgbColor rgb="FF993366"/>
      <rgbColor rgb="FFFBF1DD"/>
      <rgbColor rgb="FFE9F2EC"/>
      <rgbColor rgb="FF660066"/>
      <rgbColor rgb="FFFF8080"/>
      <rgbColor rgb="FF0066CC"/>
      <rgbColor rgb="FFE2D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6"/>
      <rgbColor rgb="FFEDE8DE"/>
      <rgbColor rgb="FFFBEDE8"/>
      <rgbColor rgb="FF99CCFF"/>
      <rgbColor rgb="FFFF99CC"/>
      <rgbColor rgb="FFCC99FF"/>
      <rgbColor rgb="FFF6E4BE"/>
      <rgbColor rgb="FF3366FF"/>
      <rgbColor rgb="FF33CCCC"/>
      <rgbColor rgb="FF99CC00"/>
      <rgbColor rgb="FFFFCC00"/>
      <rgbColor rgb="FFFF9900"/>
      <rgbColor rgb="FFFF6600"/>
      <rgbColor rgb="FF5A655F"/>
      <rgbColor rgb="FF969696"/>
      <rgbColor rgb="FF003366"/>
      <rgbColor rgb="FF339966"/>
      <rgbColor rgb="FF0E3A2F"/>
      <rgbColor rgb="FF333300"/>
      <rgbColor rgb="FF993300"/>
      <rgbColor rgb="FF993366"/>
      <rgbColor rgb="FF333399"/>
      <rgbColor rgb="FF1A24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46"/>
    <col collapsed="false" customWidth="true" hidden="false" outlineLevel="0" max="5" min="5" style="0" width="9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50"/>
    <col collapsed="false" customWidth="true" hidden="true" outlineLevel="0" max="10" min="10" style="0" width="1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4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35.05" hidden="false" customHeight="false" outlineLevel="0" collapsed="false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5" t="s">
        <v>15</v>
      </c>
      <c r="G3" s="4" t="s">
        <v>16</v>
      </c>
      <c r="H3" s="4" t="s">
        <v>17</v>
      </c>
      <c r="I3" s="4" t="s">
        <v>18</v>
      </c>
      <c r="J3" s="0" t="n">
        <v>0</v>
      </c>
    </row>
    <row r="4" customFormat="false" ht="23.85" hidden="false" customHeight="false" outlineLevel="0" collapsed="false">
      <c r="A4" s="3" t="s">
        <v>19</v>
      </c>
      <c r="B4" s="4" t="s">
        <v>11</v>
      </c>
      <c r="C4" s="4" t="s">
        <v>20</v>
      </c>
      <c r="D4" s="4" t="s">
        <v>21</v>
      </c>
      <c r="E4" s="4" t="s">
        <v>14</v>
      </c>
      <c r="F4" s="5" t="s">
        <v>15</v>
      </c>
      <c r="G4" s="4" t="s">
        <v>22</v>
      </c>
      <c r="H4" s="4" t="s">
        <v>17</v>
      </c>
      <c r="I4" s="4" t="s">
        <v>23</v>
      </c>
      <c r="J4" s="0" t="n">
        <v>0</v>
      </c>
    </row>
    <row r="5" customFormat="false" ht="23.85" hidden="false" customHeight="false" outlineLevel="0" collapsed="false">
      <c r="A5" s="3" t="s">
        <v>24</v>
      </c>
      <c r="B5" s="4" t="s">
        <v>11</v>
      </c>
      <c r="C5" s="4" t="s">
        <v>25</v>
      </c>
      <c r="D5" s="4" t="s">
        <v>26</v>
      </c>
      <c r="E5" s="4" t="s">
        <v>14</v>
      </c>
      <c r="F5" s="6" t="s">
        <v>27</v>
      </c>
      <c r="G5" s="4" t="s">
        <v>22</v>
      </c>
      <c r="H5" s="4" t="s">
        <v>10</v>
      </c>
      <c r="I5" s="4" t="s">
        <v>28</v>
      </c>
      <c r="J5" s="0" t="n">
        <v>0</v>
      </c>
    </row>
    <row r="6" customFormat="false" ht="23.85" hidden="false" customHeight="false" outlineLevel="0" collapsed="false">
      <c r="A6" s="7" t="s">
        <v>29</v>
      </c>
      <c r="B6" s="8" t="s">
        <v>30</v>
      </c>
      <c r="C6" s="8" t="s">
        <v>31</v>
      </c>
      <c r="D6" s="8" t="s">
        <v>32</v>
      </c>
      <c r="E6" s="8" t="s">
        <v>33</v>
      </c>
      <c r="F6" s="9" t="s">
        <v>15</v>
      </c>
      <c r="G6" s="8" t="s">
        <v>17</v>
      </c>
      <c r="H6" s="8" t="s">
        <v>17</v>
      </c>
      <c r="I6" s="8" t="s">
        <v>34</v>
      </c>
      <c r="J6" s="0" t="n">
        <v>1</v>
      </c>
    </row>
    <row r="7" customFormat="false" ht="23.85" hidden="false" customHeight="false" outlineLevel="0" collapsed="false">
      <c r="A7" s="7" t="s">
        <v>35</v>
      </c>
      <c r="B7" s="8" t="s">
        <v>30</v>
      </c>
      <c r="C7" s="8" t="s">
        <v>36</v>
      </c>
      <c r="D7" s="8" t="s">
        <v>37</v>
      </c>
      <c r="E7" s="8" t="s">
        <v>38</v>
      </c>
      <c r="F7" s="10" t="s">
        <v>27</v>
      </c>
      <c r="G7" s="8" t="s">
        <v>39</v>
      </c>
      <c r="H7" s="8" t="s">
        <v>19</v>
      </c>
      <c r="I7" s="8" t="s">
        <v>40</v>
      </c>
      <c r="J7" s="0" t="n">
        <v>2</v>
      </c>
    </row>
    <row r="8" customFormat="false" ht="23.85" hidden="false" customHeight="false" outlineLevel="0" collapsed="false">
      <c r="A8" s="7" t="s">
        <v>41</v>
      </c>
      <c r="B8" s="8" t="s">
        <v>30</v>
      </c>
      <c r="C8" s="8" t="s">
        <v>42</v>
      </c>
      <c r="D8" s="8" t="s">
        <v>43</v>
      </c>
      <c r="E8" s="8" t="s">
        <v>44</v>
      </c>
      <c r="F8" s="8" t="s">
        <v>45</v>
      </c>
      <c r="G8" s="8" t="s">
        <v>39</v>
      </c>
      <c r="H8" s="8" t="s">
        <v>35</v>
      </c>
      <c r="I8" s="8" t="s">
        <v>46</v>
      </c>
      <c r="J8" s="0" t="n">
        <v>3</v>
      </c>
    </row>
    <row r="9" customFormat="false" ht="23.85" hidden="false" customHeight="false" outlineLevel="0" collapsed="false">
      <c r="A9" s="7" t="s">
        <v>47</v>
      </c>
      <c r="B9" s="8" t="s">
        <v>30</v>
      </c>
      <c r="C9" s="8" t="s">
        <v>48</v>
      </c>
      <c r="D9" s="8" t="s">
        <v>49</v>
      </c>
      <c r="E9" s="8" t="s">
        <v>38</v>
      </c>
      <c r="F9" s="8" t="s">
        <v>45</v>
      </c>
      <c r="G9" s="8" t="s">
        <v>22</v>
      </c>
      <c r="H9" s="8" t="s">
        <v>19</v>
      </c>
      <c r="I9" s="8" t="s">
        <v>50</v>
      </c>
      <c r="J9" s="0" t="n">
        <v>2</v>
      </c>
    </row>
    <row r="10" customFormat="false" ht="23.85" hidden="false" customHeight="false" outlineLevel="0" collapsed="false">
      <c r="A10" s="11" t="s">
        <v>51</v>
      </c>
      <c r="B10" s="12" t="s">
        <v>52</v>
      </c>
      <c r="C10" s="12" t="s">
        <v>53</v>
      </c>
      <c r="D10" s="12" t="s">
        <v>54</v>
      </c>
      <c r="E10" s="12" t="s">
        <v>33</v>
      </c>
      <c r="F10" s="13" t="s">
        <v>15</v>
      </c>
      <c r="G10" s="12" t="s">
        <v>17</v>
      </c>
      <c r="H10" s="12" t="s">
        <v>17</v>
      </c>
      <c r="I10" s="12" t="s">
        <v>34</v>
      </c>
      <c r="J10" s="0" t="n">
        <v>1</v>
      </c>
    </row>
    <row r="11" customFormat="false" ht="23.85" hidden="false" customHeight="false" outlineLevel="0" collapsed="false">
      <c r="A11" s="11" t="s">
        <v>55</v>
      </c>
      <c r="B11" s="12" t="s">
        <v>52</v>
      </c>
      <c r="C11" s="12" t="s">
        <v>56</v>
      </c>
      <c r="D11" s="12" t="s">
        <v>57</v>
      </c>
      <c r="E11" s="12" t="s">
        <v>38</v>
      </c>
      <c r="F11" s="14" t="s">
        <v>27</v>
      </c>
      <c r="G11" s="12" t="s">
        <v>16</v>
      </c>
      <c r="H11" s="12" t="s">
        <v>58</v>
      </c>
      <c r="I11" s="12" t="s">
        <v>59</v>
      </c>
      <c r="J11" s="0" t="n">
        <v>2</v>
      </c>
    </row>
    <row r="12" customFormat="false" ht="23.85" hidden="false" customHeight="false" outlineLevel="0" collapsed="false">
      <c r="A12" s="11" t="s">
        <v>60</v>
      </c>
      <c r="B12" s="12" t="s">
        <v>52</v>
      </c>
      <c r="C12" s="12" t="s">
        <v>61</v>
      </c>
      <c r="D12" s="12" t="s">
        <v>62</v>
      </c>
      <c r="E12" s="12" t="s">
        <v>38</v>
      </c>
      <c r="F12" s="14" t="s">
        <v>27</v>
      </c>
      <c r="G12" s="12" t="s">
        <v>22</v>
      </c>
      <c r="H12" s="12" t="s">
        <v>55</v>
      </c>
      <c r="I12" s="12" t="s">
        <v>63</v>
      </c>
      <c r="J12" s="0" t="n">
        <v>2</v>
      </c>
    </row>
    <row r="13" customFormat="false" ht="23.85" hidden="false" customHeight="false" outlineLevel="0" collapsed="false">
      <c r="A13" s="11" t="s">
        <v>64</v>
      </c>
      <c r="B13" s="12" t="s">
        <v>52</v>
      </c>
      <c r="C13" s="12" t="s">
        <v>65</v>
      </c>
      <c r="D13" s="12" t="s">
        <v>66</v>
      </c>
      <c r="E13" s="12" t="s">
        <v>44</v>
      </c>
      <c r="F13" s="12" t="s">
        <v>45</v>
      </c>
      <c r="G13" s="12" t="s">
        <v>16</v>
      </c>
      <c r="H13" s="12" t="s">
        <v>60</v>
      </c>
      <c r="I13" s="12" t="s">
        <v>67</v>
      </c>
      <c r="J13" s="0" t="n">
        <v>3</v>
      </c>
    </row>
    <row r="14" customFormat="false" ht="23.85" hidden="false" customHeight="false" outlineLevel="0" collapsed="false">
      <c r="A14" s="11" t="s">
        <v>58</v>
      </c>
      <c r="B14" s="12" t="s">
        <v>52</v>
      </c>
      <c r="C14" s="12" t="s">
        <v>68</v>
      </c>
      <c r="D14" s="12" t="s">
        <v>69</v>
      </c>
      <c r="E14" s="12" t="s">
        <v>38</v>
      </c>
      <c r="F14" s="13" t="s">
        <v>15</v>
      </c>
      <c r="G14" s="12" t="s">
        <v>22</v>
      </c>
      <c r="H14" s="12" t="s">
        <v>19</v>
      </c>
      <c r="I14" s="12" t="s">
        <v>70</v>
      </c>
      <c r="J14" s="0" t="n">
        <v>2</v>
      </c>
    </row>
    <row r="15" customFormat="false" ht="23.85" hidden="false" customHeight="false" outlineLevel="0" collapsed="false">
      <c r="A15" s="11" t="s">
        <v>71</v>
      </c>
      <c r="B15" s="12" t="s">
        <v>52</v>
      </c>
      <c r="C15" s="12" t="s">
        <v>72</v>
      </c>
      <c r="D15" s="12" t="s">
        <v>73</v>
      </c>
      <c r="E15" s="12" t="s">
        <v>44</v>
      </c>
      <c r="F15" s="12" t="s">
        <v>45</v>
      </c>
      <c r="G15" s="12" t="s">
        <v>22</v>
      </c>
      <c r="H15" s="12" t="s">
        <v>55</v>
      </c>
      <c r="I15" s="12" t="s">
        <v>74</v>
      </c>
      <c r="J15" s="0" t="n">
        <v>3</v>
      </c>
    </row>
    <row r="16" customFormat="false" ht="23.85" hidden="false" customHeight="false" outlineLevel="0" collapsed="false">
      <c r="A16" s="11" t="s">
        <v>75</v>
      </c>
      <c r="B16" s="12" t="s">
        <v>52</v>
      </c>
      <c r="C16" s="12" t="s">
        <v>76</v>
      </c>
      <c r="D16" s="12" t="s">
        <v>77</v>
      </c>
      <c r="E16" s="12" t="s">
        <v>44</v>
      </c>
      <c r="F16" s="12" t="s">
        <v>45</v>
      </c>
      <c r="G16" s="12" t="s">
        <v>16</v>
      </c>
      <c r="H16" s="12" t="s">
        <v>55</v>
      </c>
      <c r="I16" s="12" t="s">
        <v>78</v>
      </c>
      <c r="J16" s="0" t="n">
        <v>3</v>
      </c>
    </row>
    <row r="17" customFormat="false" ht="23.85" hidden="false" customHeight="false" outlineLevel="0" collapsed="false">
      <c r="A17" s="11" t="s">
        <v>79</v>
      </c>
      <c r="B17" s="12" t="s">
        <v>52</v>
      </c>
      <c r="C17" s="12" t="s">
        <v>80</v>
      </c>
      <c r="D17" s="12" t="s">
        <v>81</v>
      </c>
      <c r="E17" s="12" t="s">
        <v>44</v>
      </c>
      <c r="F17" s="12" t="s">
        <v>45</v>
      </c>
      <c r="G17" s="12" t="s">
        <v>22</v>
      </c>
      <c r="H17" s="12" t="s">
        <v>60</v>
      </c>
      <c r="I17" s="12" t="s">
        <v>82</v>
      </c>
      <c r="J17" s="0" t="n">
        <v>3</v>
      </c>
    </row>
    <row r="18" customFormat="false" ht="23.85" hidden="false" customHeight="false" outlineLevel="0" collapsed="false">
      <c r="A18" s="15" t="s">
        <v>83</v>
      </c>
      <c r="B18" s="16" t="s">
        <v>84</v>
      </c>
      <c r="C18" s="16" t="s">
        <v>85</v>
      </c>
      <c r="D18" s="16" t="s">
        <v>86</v>
      </c>
      <c r="E18" s="16" t="s">
        <v>33</v>
      </c>
      <c r="F18" s="17" t="s">
        <v>15</v>
      </c>
      <c r="G18" s="16" t="s">
        <v>22</v>
      </c>
      <c r="H18" s="16" t="s">
        <v>19</v>
      </c>
      <c r="I18" s="16" t="s">
        <v>87</v>
      </c>
      <c r="J18" s="0" t="n">
        <v>1</v>
      </c>
    </row>
    <row r="19" customFormat="false" ht="23.85" hidden="false" customHeight="false" outlineLevel="0" collapsed="false">
      <c r="A19" s="15" t="s">
        <v>88</v>
      </c>
      <c r="B19" s="16" t="s">
        <v>84</v>
      </c>
      <c r="C19" s="16" t="s">
        <v>89</v>
      </c>
      <c r="D19" s="16" t="s">
        <v>90</v>
      </c>
      <c r="E19" s="16" t="s">
        <v>33</v>
      </c>
      <c r="F19" s="17" t="s">
        <v>15</v>
      </c>
      <c r="G19" s="16" t="s">
        <v>22</v>
      </c>
      <c r="H19" s="16" t="s">
        <v>17</v>
      </c>
      <c r="I19" s="16" t="s">
        <v>91</v>
      </c>
      <c r="J19" s="0" t="n">
        <v>1</v>
      </c>
    </row>
    <row r="20" customFormat="false" ht="23.85" hidden="false" customHeight="false" outlineLevel="0" collapsed="false">
      <c r="A20" s="15" t="s">
        <v>92</v>
      </c>
      <c r="B20" s="16" t="s">
        <v>84</v>
      </c>
      <c r="C20" s="16" t="s">
        <v>93</v>
      </c>
      <c r="D20" s="16" t="s">
        <v>94</v>
      </c>
      <c r="E20" s="16" t="s">
        <v>33</v>
      </c>
      <c r="F20" s="18" t="s">
        <v>27</v>
      </c>
      <c r="G20" s="16" t="s">
        <v>22</v>
      </c>
      <c r="H20" s="16" t="s">
        <v>88</v>
      </c>
      <c r="I20" s="16" t="s">
        <v>95</v>
      </c>
      <c r="J20" s="0" t="n">
        <v>1</v>
      </c>
    </row>
    <row r="21" customFormat="false" ht="23.85" hidden="false" customHeight="false" outlineLevel="0" collapsed="false">
      <c r="A21" s="15" t="s">
        <v>96</v>
      </c>
      <c r="B21" s="16" t="s">
        <v>84</v>
      </c>
      <c r="C21" s="16" t="s">
        <v>97</v>
      </c>
      <c r="D21" s="16" t="s">
        <v>98</v>
      </c>
      <c r="E21" s="16" t="s">
        <v>33</v>
      </c>
      <c r="F21" s="18" t="s">
        <v>27</v>
      </c>
      <c r="G21" s="16" t="s">
        <v>39</v>
      </c>
      <c r="H21" s="16" t="s">
        <v>88</v>
      </c>
      <c r="I21" s="16" t="s">
        <v>99</v>
      </c>
      <c r="J21" s="0" t="n">
        <v>1</v>
      </c>
    </row>
    <row r="22" customFormat="false" ht="15" hidden="false" customHeight="false" outlineLevel="0" collapsed="false">
      <c r="A22" s="15" t="s">
        <v>100</v>
      </c>
      <c r="B22" s="16" t="s">
        <v>84</v>
      </c>
      <c r="C22" s="16" t="s">
        <v>101</v>
      </c>
      <c r="D22" s="16" t="s">
        <v>102</v>
      </c>
      <c r="E22" s="16" t="s">
        <v>38</v>
      </c>
      <c r="F22" s="16" t="s">
        <v>45</v>
      </c>
      <c r="G22" s="16" t="s">
        <v>39</v>
      </c>
      <c r="H22" s="16" t="s">
        <v>83</v>
      </c>
      <c r="I22" s="16" t="s">
        <v>103</v>
      </c>
      <c r="J22" s="0" t="n">
        <v>2</v>
      </c>
    </row>
    <row r="23" customFormat="false" ht="23.85" hidden="false" customHeight="false" outlineLevel="0" collapsed="false">
      <c r="A23" s="15" t="s">
        <v>104</v>
      </c>
      <c r="B23" s="16" t="s">
        <v>84</v>
      </c>
      <c r="C23" s="16" t="s">
        <v>105</v>
      </c>
      <c r="D23" s="16" t="s">
        <v>106</v>
      </c>
      <c r="E23" s="16" t="s">
        <v>44</v>
      </c>
      <c r="F23" s="16" t="s">
        <v>45</v>
      </c>
      <c r="G23" s="16" t="s">
        <v>16</v>
      </c>
      <c r="H23" s="16" t="s">
        <v>83</v>
      </c>
      <c r="I23" s="16" t="s">
        <v>107</v>
      </c>
      <c r="J23" s="0" t="n">
        <v>3</v>
      </c>
    </row>
    <row r="24" customFormat="false" ht="15" hidden="false" customHeight="false" outlineLevel="0" collapsed="false">
      <c r="A24" s="19" t="s">
        <v>108</v>
      </c>
      <c r="B24" s="20" t="s">
        <v>109</v>
      </c>
      <c r="C24" s="20" t="s">
        <v>110</v>
      </c>
      <c r="D24" s="20" t="s">
        <v>111</v>
      </c>
      <c r="E24" s="20" t="s">
        <v>33</v>
      </c>
      <c r="F24" s="21" t="s">
        <v>27</v>
      </c>
      <c r="G24" s="20" t="s">
        <v>22</v>
      </c>
      <c r="H24" s="20" t="s">
        <v>19</v>
      </c>
      <c r="I24" s="20" t="s">
        <v>112</v>
      </c>
      <c r="J24" s="0" t="n">
        <v>1</v>
      </c>
    </row>
    <row r="25" customFormat="false" ht="23.85" hidden="false" customHeight="false" outlineLevel="0" collapsed="false">
      <c r="A25" s="19" t="s">
        <v>113</v>
      </c>
      <c r="B25" s="20" t="s">
        <v>109</v>
      </c>
      <c r="C25" s="20" t="s">
        <v>114</v>
      </c>
      <c r="D25" s="20" t="s">
        <v>115</v>
      </c>
      <c r="E25" s="20" t="s">
        <v>33</v>
      </c>
      <c r="F25" s="21" t="s">
        <v>27</v>
      </c>
      <c r="G25" s="20" t="s">
        <v>22</v>
      </c>
      <c r="H25" s="20" t="s">
        <v>108</v>
      </c>
      <c r="I25" s="20" t="s">
        <v>116</v>
      </c>
      <c r="J25" s="0" t="n">
        <v>1</v>
      </c>
    </row>
    <row r="26" customFormat="false" ht="23.85" hidden="false" customHeight="false" outlineLevel="0" collapsed="false">
      <c r="A26" s="19" t="s">
        <v>117</v>
      </c>
      <c r="B26" s="20" t="s">
        <v>109</v>
      </c>
      <c r="C26" s="20" t="s">
        <v>118</v>
      </c>
      <c r="D26" s="20" t="s">
        <v>119</v>
      </c>
      <c r="E26" s="20" t="s">
        <v>38</v>
      </c>
      <c r="F26" s="20" t="s">
        <v>45</v>
      </c>
      <c r="G26" s="20" t="s">
        <v>22</v>
      </c>
      <c r="H26" s="20" t="s">
        <v>108</v>
      </c>
      <c r="I26" s="20" t="s">
        <v>120</v>
      </c>
      <c r="J26" s="0" t="n">
        <v>2</v>
      </c>
    </row>
    <row r="27" customFormat="false" ht="23.85" hidden="false" customHeight="false" outlineLevel="0" collapsed="false">
      <c r="A27" s="22" t="s">
        <v>121</v>
      </c>
      <c r="B27" s="23" t="s">
        <v>122</v>
      </c>
      <c r="C27" s="23" t="s">
        <v>123</v>
      </c>
      <c r="D27" s="23" t="s">
        <v>124</v>
      </c>
      <c r="E27" s="23" t="s">
        <v>38</v>
      </c>
      <c r="F27" s="24" t="s">
        <v>27</v>
      </c>
      <c r="G27" s="23" t="s">
        <v>22</v>
      </c>
      <c r="H27" s="23" t="s">
        <v>10</v>
      </c>
      <c r="I27" s="23" t="s">
        <v>125</v>
      </c>
      <c r="J27" s="0" t="n">
        <v>2</v>
      </c>
    </row>
    <row r="28" customFormat="false" ht="23.85" hidden="false" customHeight="false" outlineLevel="0" collapsed="false">
      <c r="A28" s="22" t="s">
        <v>126</v>
      </c>
      <c r="B28" s="23" t="s">
        <v>122</v>
      </c>
      <c r="C28" s="23" t="s">
        <v>127</v>
      </c>
      <c r="D28" s="23" t="s">
        <v>128</v>
      </c>
      <c r="E28" s="23" t="s">
        <v>38</v>
      </c>
      <c r="F28" s="24" t="s">
        <v>27</v>
      </c>
      <c r="G28" s="23" t="s">
        <v>22</v>
      </c>
      <c r="H28" s="23" t="s">
        <v>121</v>
      </c>
      <c r="I28" s="23" t="s">
        <v>129</v>
      </c>
      <c r="J28" s="0" t="n">
        <v>2</v>
      </c>
    </row>
    <row r="29" customFormat="false" ht="15" hidden="false" customHeight="false" outlineLevel="0" collapsed="false">
      <c r="A29" s="22" t="s">
        <v>130</v>
      </c>
      <c r="B29" s="23" t="s">
        <v>122</v>
      </c>
      <c r="C29" s="23" t="s">
        <v>131</v>
      </c>
      <c r="D29" s="23" t="s">
        <v>132</v>
      </c>
      <c r="E29" s="23" t="s">
        <v>38</v>
      </c>
      <c r="F29" s="24" t="s">
        <v>27</v>
      </c>
      <c r="G29" s="23" t="s">
        <v>22</v>
      </c>
      <c r="H29" s="23" t="s">
        <v>126</v>
      </c>
      <c r="I29" s="23" t="s">
        <v>133</v>
      </c>
      <c r="J29" s="0" t="n">
        <v>2</v>
      </c>
    </row>
    <row r="30" customFormat="false" ht="23.85" hidden="false" customHeight="false" outlineLevel="0" collapsed="false">
      <c r="A30" s="22" t="s">
        <v>134</v>
      </c>
      <c r="B30" s="23" t="s">
        <v>122</v>
      </c>
      <c r="C30" s="23" t="s">
        <v>135</v>
      </c>
      <c r="D30" s="23" t="s">
        <v>136</v>
      </c>
      <c r="E30" s="23" t="s">
        <v>38</v>
      </c>
      <c r="F30" s="23" t="s">
        <v>45</v>
      </c>
      <c r="G30" s="23" t="s">
        <v>39</v>
      </c>
      <c r="H30" s="23" t="s">
        <v>130</v>
      </c>
      <c r="I30" s="23" t="s">
        <v>137</v>
      </c>
      <c r="J30" s="0" t="n">
        <v>2</v>
      </c>
    </row>
    <row r="31" customFormat="false" ht="15" hidden="false" customHeight="false" outlineLevel="0" collapsed="false">
      <c r="A31" s="22" t="s">
        <v>138</v>
      </c>
      <c r="B31" s="23" t="s">
        <v>122</v>
      </c>
      <c r="C31" s="23" t="s">
        <v>139</v>
      </c>
      <c r="D31" s="23" t="s">
        <v>140</v>
      </c>
      <c r="E31" s="23" t="s">
        <v>44</v>
      </c>
      <c r="F31" s="23" t="s">
        <v>45</v>
      </c>
      <c r="G31" s="23" t="s">
        <v>16</v>
      </c>
      <c r="H31" s="23" t="s">
        <v>126</v>
      </c>
      <c r="I31" s="23" t="s">
        <v>141</v>
      </c>
      <c r="J31" s="0" t="n">
        <v>3</v>
      </c>
    </row>
    <row r="32" customFormat="false" ht="23.85" hidden="false" customHeight="false" outlineLevel="0" collapsed="false">
      <c r="A32" s="25" t="s">
        <v>142</v>
      </c>
      <c r="B32" s="26" t="s">
        <v>143</v>
      </c>
      <c r="C32" s="26" t="s">
        <v>144</v>
      </c>
      <c r="D32" s="26" t="s">
        <v>145</v>
      </c>
      <c r="E32" s="26" t="s">
        <v>33</v>
      </c>
      <c r="F32" s="27" t="s">
        <v>27</v>
      </c>
      <c r="G32" s="26" t="s">
        <v>16</v>
      </c>
      <c r="H32" s="26" t="s">
        <v>10</v>
      </c>
      <c r="I32" s="26" t="s">
        <v>146</v>
      </c>
      <c r="J32" s="0" t="n">
        <v>1</v>
      </c>
    </row>
    <row r="33" customFormat="false" ht="15" hidden="false" customHeight="false" outlineLevel="0" collapsed="false">
      <c r="A33" s="25" t="s">
        <v>147</v>
      </c>
      <c r="B33" s="26" t="s">
        <v>143</v>
      </c>
      <c r="C33" s="26" t="s">
        <v>148</v>
      </c>
      <c r="D33" s="26" t="s">
        <v>149</v>
      </c>
      <c r="E33" s="26" t="s">
        <v>44</v>
      </c>
      <c r="F33" s="26" t="s">
        <v>45</v>
      </c>
      <c r="G33" s="26" t="s">
        <v>16</v>
      </c>
      <c r="H33" s="26" t="s">
        <v>142</v>
      </c>
      <c r="I33" s="26" t="s">
        <v>150</v>
      </c>
      <c r="J33" s="0" t="n">
        <v>3</v>
      </c>
    </row>
    <row r="34" customFormat="false" ht="23.85" hidden="false" customHeight="false" outlineLevel="0" collapsed="false">
      <c r="A34" s="11" t="s">
        <v>151</v>
      </c>
      <c r="B34" s="12" t="s">
        <v>152</v>
      </c>
      <c r="C34" s="12" t="s">
        <v>153</v>
      </c>
      <c r="D34" s="12" t="s">
        <v>154</v>
      </c>
      <c r="E34" s="12" t="s">
        <v>33</v>
      </c>
      <c r="F34" s="14" t="s">
        <v>27</v>
      </c>
      <c r="G34" s="12" t="s">
        <v>16</v>
      </c>
      <c r="H34" s="12" t="s">
        <v>10</v>
      </c>
      <c r="I34" s="12" t="s">
        <v>155</v>
      </c>
      <c r="J34" s="0" t="n">
        <v>1</v>
      </c>
    </row>
    <row r="35" customFormat="false" ht="23.85" hidden="false" customHeight="false" outlineLevel="0" collapsed="false">
      <c r="A35" s="11" t="s">
        <v>156</v>
      </c>
      <c r="B35" s="12" t="s">
        <v>152</v>
      </c>
      <c r="C35" s="12" t="s">
        <v>157</v>
      </c>
      <c r="D35" s="12" t="s">
        <v>158</v>
      </c>
      <c r="E35" s="12" t="s">
        <v>33</v>
      </c>
      <c r="F35" s="14" t="s">
        <v>27</v>
      </c>
      <c r="G35" s="12" t="s">
        <v>22</v>
      </c>
      <c r="H35" s="12" t="s">
        <v>151</v>
      </c>
      <c r="I35" s="12" t="s">
        <v>159</v>
      </c>
      <c r="J35" s="0" t="n">
        <v>1</v>
      </c>
    </row>
    <row r="36" customFormat="false" ht="23.85" hidden="false" customHeight="false" outlineLevel="0" collapsed="false">
      <c r="A36" s="11" t="s">
        <v>160</v>
      </c>
      <c r="B36" s="12" t="s">
        <v>152</v>
      </c>
      <c r="C36" s="12" t="s">
        <v>161</v>
      </c>
      <c r="D36" s="12" t="s">
        <v>162</v>
      </c>
      <c r="E36" s="12" t="s">
        <v>38</v>
      </c>
      <c r="F36" s="12" t="s">
        <v>45</v>
      </c>
      <c r="G36" s="12" t="s">
        <v>22</v>
      </c>
      <c r="H36" s="12" t="s">
        <v>151</v>
      </c>
      <c r="I36" s="12" t="s">
        <v>163</v>
      </c>
      <c r="J36" s="0" t="n">
        <v>2</v>
      </c>
    </row>
    <row r="37" customFormat="false" ht="23.85" hidden="false" customHeight="false" outlineLevel="0" collapsed="false">
      <c r="A37" s="15" t="s">
        <v>164</v>
      </c>
      <c r="B37" s="16" t="s">
        <v>165</v>
      </c>
      <c r="C37" s="16" t="s">
        <v>166</v>
      </c>
      <c r="D37" s="16" t="s">
        <v>167</v>
      </c>
      <c r="E37" s="16" t="s">
        <v>38</v>
      </c>
      <c r="F37" s="16" t="s">
        <v>45</v>
      </c>
      <c r="G37" s="16" t="s">
        <v>22</v>
      </c>
      <c r="H37" s="16" t="s">
        <v>151</v>
      </c>
      <c r="I37" s="16" t="s">
        <v>168</v>
      </c>
      <c r="J37" s="0" t="n">
        <v>2</v>
      </c>
    </row>
    <row r="38" customFormat="false" ht="23.85" hidden="false" customHeight="false" outlineLevel="0" collapsed="false">
      <c r="A38" s="15" t="s">
        <v>169</v>
      </c>
      <c r="B38" s="16" t="s">
        <v>165</v>
      </c>
      <c r="C38" s="16" t="s">
        <v>170</v>
      </c>
      <c r="D38" s="16" t="s">
        <v>171</v>
      </c>
      <c r="E38" s="16" t="s">
        <v>38</v>
      </c>
      <c r="F38" s="16" t="s">
        <v>45</v>
      </c>
      <c r="G38" s="16" t="s">
        <v>22</v>
      </c>
      <c r="H38" s="16" t="s">
        <v>164</v>
      </c>
      <c r="I38" s="16" t="s">
        <v>172</v>
      </c>
      <c r="J38" s="0" t="n">
        <v>2</v>
      </c>
    </row>
    <row r="39" customFormat="false" ht="23.85" hidden="false" customHeight="false" outlineLevel="0" collapsed="false">
      <c r="A39" s="15" t="s">
        <v>173</v>
      </c>
      <c r="B39" s="16" t="s">
        <v>165</v>
      </c>
      <c r="C39" s="16" t="s">
        <v>174</v>
      </c>
      <c r="D39" s="16" t="s">
        <v>175</v>
      </c>
      <c r="E39" s="16" t="s">
        <v>44</v>
      </c>
      <c r="F39" s="16" t="s">
        <v>45</v>
      </c>
      <c r="G39" s="16" t="s">
        <v>16</v>
      </c>
      <c r="H39" s="16" t="s">
        <v>169</v>
      </c>
      <c r="I39" s="16" t="s">
        <v>176</v>
      </c>
      <c r="J39" s="0" t="n">
        <v>3</v>
      </c>
    </row>
  </sheetData>
  <autoFilter ref="A2:I39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30" hidden="false" customHeight="true" outlineLevel="0" collapsed="false">
      <c r="A1" s="1" t="s">
        <v>177</v>
      </c>
      <c r="B1" s="1"/>
      <c r="C1" s="1"/>
      <c r="D1" s="1"/>
    </row>
    <row r="2" customFormat="false" ht="15" hidden="false" customHeight="false" outlineLevel="0" collapsed="false">
      <c r="A2" s="2" t="s">
        <v>2</v>
      </c>
      <c r="B2" s="2" t="s">
        <v>178</v>
      </c>
      <c r="C2" s="2" t="s">
        <v>179</v>
      </c>
      <c r="D2" s="2" t="s">
        <v>180</v>
      </c>
    </row>
    <row r="3" customFormat="false" ht="15" hidden="false" customHeight="false" outlineLevel="0" collapsed="false">
      <c r="A3" s="3" t="s">
        <v>11</v>
      </c>
      <c r="B3" s="4" t="s">
        <v>181</v>
      </c>
      <c r="C3" s="28" t="n">
        <f aca="false">COUNTIF(Backlog!B:B,A3)</f>
        <v>3</v>
      </c>
      <c r="D3" s="28" t="str">
        <f aca="false">"Fase "&amp;SUMPRODUCT(MIN(IF(Backlog!$B$3:$B$100=A3,Backlog!$J$3:$J$100,99)))</f>
        <v>Fase 0</v>
      </c>
    </row>
    <row r="4" customFormat="false" ht="15" hidden="false" customHeight="false" outlineLevel="0" collapsed="false">
      <c r="A4" s="7" t="s">
        <v>30</v>
      </c>
      <c r="B4" s="8" t="s">
        <v>182</v>
      </c>
      <c r="C4" s="29" t="n">
        <f aca="false">COUNTIF(Backlog!B:B,A4)</f>
        <v>4</v>
      </c>
      <c r="D4" s="29" t="str">
        <f aca="false">"Fase "&amp;SUMPRODUCT(MIN(IF(Backlog!$B$3:$B$100=A4,Backlog!$J$3:$J$100,99)))</f>
        <v>Fase 1</v>
      </c>
    </row>
    <row r="5" customFormat="false" ht="15" hidden="false" customHeight="false" outlineLevel="0" collapsed="false">
      <c r="A5" s="11" t="s">
        <v>52</v>
      </c>
      <c r="B5" s="12" t="s">
        <v>183</v>
      </c>
      <c r="C5" s="30" t="n">
        <f aca="false">COUNTIF(Backlog!B:B,A5)</f>
        <v>8</v>
      </c>
      <c r="D5" s="30" t="str">
        <f aca="false">"Fase "&amp;SUMPRODUCT(MIN(IF(Backlog!$B$3:$B$100=A5,Backlog!$J$3:$J$100,99)))</f>
        <v>Fase 1</v>
      </c>
    </row>
    <row r="6" customFormat="false" ht="15" hidden="false" customHeight="false" outlineLevel="0" collapsed="false">
      <c r="A6" s="15" t="s">
        <v>84</v>
      </c>
      <c r="B6" s="16" t="s">
        <v>184</v>
      </c>
      <c r="C6" s="31" t="n">
        <f aca="false">COUNTIF(Backlog!B:B,A6)</f>
        <v>6</v>
      </c>
      <c r="D6" s="31" t="str">
        <f aca="false">"Fase "&amp;SUMPRODUCT(MIN(IF(Backlog!$B$3:$B$100=A6,Backlog!$J$3:$J$100,99)))</f>
        <v>Fase 1</v>
      </c>
    </row>
    <row r="7" customFormat="false" ht="15" hidden="false" customHeight="false" outlineLevel="0" collapsed="false">
      <c r="A7" s="19" t="s">
        <v>109</v>
      </c>
      <c r="B7" s="20" t="s">
        <v>185</v>
      </c>
      <c r="C7" s="32" t="n">
        <f aca="false">COUNTIF(Backlog!B:B,A7)</f>
        <v>3</v>
      </c>
      <c r="D7" s="32" t="str">
        <f aca="false">"Fase "&amp;SUMPRODUCT(MIN(IF(Backlog!$B$3:$B$100=A7,Backlog!$J$3:$J$100,99)))</f>
        <v>Fase 1</v>
      </c>
    </row>
    <row r="8" customFormat="false" ht="15" hidden="false" customHeight="false" outlineLevel="0" collapsed="false">
      <c r="A8" s="22" t="s">
        <v>122</v>
      </c>
      <c r="B8" s="23" t="s">
        <v>186</v>
      </c>
      <c r="C8" s="33" t="n">
        <f aca="false">COUNTIF(Backlog!B:B,A8)</f>
        <v>5</v>
      </c>
      <c r="D8" s="33" t="str">
        <f aca="false">"Fase "&amp;SUMPRODUCT(MIN(IF(Backlog!$B$3:$B$100=A8,Backlog!$J$3:$J$100,99)))</f>
        <v>Fase 2</v>
      </c>
    </row>
    <row r="9" customFormat="false" ht="15" hidden="false" customHeight="false" outlineLevel="0" collapsed="false">
      <c r="A9" s="25" t="s">
        <v>143</v>
      </c>
      <c r="B9" s="26" t="s">
        <v>187</v>
      </c>
      <c r="C9" s="34" t="n">
        <f aca="false">COUNTIF(Backlog!B:B,A9)</f>
        <v>2</v>
      </c>
      <c r="D9" s="34" t="str">
        <f aca="false">"Fase "&amp;SUMPRODUCT(MIN(IF(Backlog!$B$3:$B$100=A9,Backlog!$J$3:$J$100,99)))</f>
        <v>Fase 1</v>
      </c>
    </row>
    <row r="10" customFormat="false" ht="15" hidden="false" customHeight="false" outlineLevel="0" collapsed="false">
      <c r="A10" s="11" t="s">
        <v>152</v>
      </c>
      <c r="B10" s="12" t="s">
        <v>188</v>
      </c>
      <c r="C10" s="30" t="n">
        <f aca="false">COUNTIF(Backlog!B:B,A10)</f>
        <v>3</v>
      </c>
      <c r="D10" s="30" t="str">
        <f aca="false">"Fase "&amp;SUMPRODUCT(MIN(IF(Backlog!$B$3:$B$100=A10,Backlog!$J$3:$J$100,99)))</f>
        <v>Fase 1</v>
      </c>
    </row>
    <row r="11" customFormat="false" ht="15" hidden="false" customHeight="false" outlineLevel="0" collapsed="false">
      <c r="A11" s="15" t="s">
        <v>165</v>
      </c>
      <c r="B11" s="16" t="s">
        <v>189</v>
      </c>
      <c r="C11" s="31" t="n">
        <f aca="false">COUNTIF(Backlog!B:B,A11)</f>
        <v>3</v>
      </c>
      <c r="D11" s="31" t="str">
        <f aca="false">"Fase "&amp;SUMPRODUCT(MIN(IF(Backlog!$B$3:$B$100=A11,Backlog!$J$3:$J$100,99)))</f>
        <v>Fase 2</v>
      </c>
    </row>
    <row r="12" customFormat="false" ht="15" hidden="false" customHeight="false" outlineLevel="0" collapsed="false">
      <c r="A12" s="35" t="s">
        <v>190</v>
      </c>
      <c r="B12" s="36"/>
      <c r="C12" s="37" t="n">
        <f aca="false">SUM(C3:C11)</f>
        <v>37</v>
      </c>
      <c r="D12" s="36"/>
    </row>
    <row r="14" customFormat="false" ht="15" hidden="false" customHeight="false" outlineLevel="0" collapsed="false">
      <c r="A14" s="38" t="s">
        <v>191</v>
      </c>
    </row>
    <row r="15" customFormat="false" ht="15" hidden="false" customHeight="false" outlineLevel="0" collapsed="false">
      <c r="A15" s="39" t="s">
        <v>192</v>
      </c>
      <c r="B15" s="39"/>
      <c r="C15" s="39"/>
      <c r="D15" s="39"/>
    </row>
    <row r="16" customFormat="false" ht="15" hidden="false" customHeight="false" outlineLevel="0" collapsed="false">
      <c r="A16" s="39" t="s">
        <v>193</v>
      </c>
      <c r="B16" s="39"/>
      <c r="C16" s="39"/>
      <c r="D16" s="39"/>
    </row>
    <row r="17" customFormat="false" ht="15" hidden="false" customHeight="false" outlineLevel="0" collapsed="false">
      <c r="A17" s="39" t="s">
        <v>194</v>
      </c>
      <c r="B17" s="39"/>
      <c r="C17" s="39"/>
      <c r="D17" s="39"/>
    </row>
  </sheetData>
  <mergeCells count="4">
    <mergeCell ref="A1:D1"/>
    <mergeCell ref="A15:D15"/>
    <mergeCell ref="A16:D16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2026-06-16T21:31:00Z</dcterms:created>
  <dc:creator>openpyxl</dc:creator>
  <dc:description/>
  <dc:language>en-US</dc:language>
  <cp:lastModifiedBy/>
  <dcterms:modified xsi:type="dcterms:W3CDTF">2026-06-16T21:31:00Z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